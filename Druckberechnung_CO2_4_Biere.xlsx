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chlosseggenbergat.sharepoint.com/sites/TechnischerKundendienst/Freigegebene Dokumente/Allgemein/Schanktechnik/"/>
    </mc:Choice>
  </mc:AlternateContent>
  <xr:revisionPtr revIDLastSave="58" documentId="8_{E47063D8-7BD0-4758-8BC3-39F1BFEFC615}" xr6:coauthVersionLast="47" xr6:coauthVersionMax="47" xr10:uidLastSave="{E7124752-14A4-44A8-B834-75C026F4267B}"/>
  <bookViews>
    <workbookView minimized="1" xWindow="4425" yWindow="1530" windowWidth="21600" windowHeight="11295" xr2:uid="{00000000-000D-0000-FFFF-FFFF00000000}"/>
  </bookViews>
  <sheets>
    <sheet name="Druckberechnung_4_Bie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8" i="1" s="1"/>
  <c r="C31" i="1"/>
  <c r="C27" i="1"/>
  <c r="C32" i="1" s="1"/>
  <c r="C23" i="1"/>
  <c r="C19" i="1"/>
  <c r="C15" i="1"/>
  <c r="C11" i="1"/>
  <c r="C24" i="1" l="1"/>
  <c r="C16" i="1"/>
</calcChain>
</file>

<file path=xl/sharedStrings.xml><?xml version="1.0" encoding="utf-8"?>
<sst xmlns="http://schemas.openxmlformats.org/spreadsheetml/2006/main" count="61" uniqueCount="19">
  <si>
    <t>Bier</t>
  </si>
  <si>
    <t>Parameter</t>
  </si>
  <si>
    <t>Wert</t>
  </si>
  <si>
    <t>Einheit</t>
  </si>
  <si>
    <t>Bier 1</t>
  </si>
  <si>
    <t>Temperatur</t>
  </si>
  <si>
    <t>°C</t>
  </si>
  <si>
    <t>Sättigungsdruck</t>
  </si>
  <si>
    <t>bar</t>
  </si>
  <si>
    <t>Höhenmeter</t>
  </si>
  <si>
    <t>m</t>
  </si>
  <si>
    <t>Leitungslänge</t>
  </si>
  <si>
    <t>Kühlschlange nutzen? (ja/nein)</t>
  </si>
  <si>
    <t>Kühlschlange (Wert)</t>
  </si>
  <si>
    <t>Betriebsdruck</t>
  </si>
  <si>
    <t>Bier 2</t>
  </si>
  <si>
    <t>Bier 3</t>
  </si>
  <si>
    <t>Bier 4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</si>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</sst>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Protection="1">
      <protection locked="0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2" max="2" width="29" bestFit="1" customWidth="1"/>
    <col min="3" max="3" width="7.5703125" bestFit="1" customWidth="1"/>
    <col min="4" max="4" width="9.85546875" bestFit="1" customWidth="1"/>
  </cols>
  <sheetData>
    <row r="1" spans="1:4" ht="2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s="1">
        <v>10</v>
      </c>
      <c r="D2" t="s">
        <v>6</v>
      </c>
    </row>
    <row r="3" spans="1:4" x14ac:dyDescent="0.25">
      <c r="B3" t="s">
        <v>7</v>
      </c>
      <c r="C3">
        <f>0.51 + 0.076*C2</f>
        <v>1.27</v>
      </c>
      <c r="D3" t="s">
        <v>8</v>
      </c>
    </row>
    <row r="4" spans="1:4" x14ac:dyDescent="0.25">
      <c r="B4" t="s">
        <v>9</v>
      </c>
      <c r="C4" s="1">
        <v>1</v>
      </c>
      <c r="D4" t="s">
        <v>10</v>
      </c>
    </row>
    <row r="5" spans="1:4" x14ac:dyDescent="0.25">
      <c r="B5" t="s">
        <v>11</v>
      </c>
      <c r="C5" s="1">
        <v>10</v>
      </c>
      <c r="D5" t="s">
        <v>10</v>
      </c>
    </row>
    <row r="6" spans="1:4" x14ac:dyDescent="0.25">
      <c r="B6" t="s">
        <v>12</v>
      </c>
      <c r="C6" s="1" t="s">
        <v>18</v>
      </c>
    </row>
    <row r="7" spans="1:4" x14ac:dyDescent="0.25">
      <c r="B7" t="s">
        <v>13</v>
      </c>
      <c r="C7">
        <v>0</v>
      </c>
      <c r="D7" t="s">
        <v>10</v>
      </c>
    </row>
    <row r="8" spans="1:4" x14ac:dyDescent="0.25">
      <c r="B8" t="s">
        <v>14</v>
      </c>
      <c r="C8">
        <f>C3 + 0.1*C4 + 0.05*(C5 + C7*0.05)</f>
        <v>1.87</v>
      </c>
      <c r="D8" t="s">
        <v>8</v>
      </c>
    </row>
    <row r="10" spans="1:4" x14ac:dyDescent="0.25">
      <c r="A10" t="s">
        <v>15</v>
      </c>
      <c r="B10" t="s">
        <v>5</v>
      </c>
      <c r="C10" s="1"/>
      <c r="D10" t="s">
        <v>6</v>
      </c>
    </row>
    <row r="11" spans="1:4" x14ac:dyDescent="0.25">
      <c r="B11" t="s">
        <v>7</v>
      </c>
      <c r="C11">
        <f>0.52 + 0.065*C10</f>
        <v>0.52</v>
      </c>
      <c r="D11" t="s">
        <v>8</v>
      </c>
    </row>
    <row r="12" spans="1:4" x14ac:dyDescent="0.25">
      <c r="B12" t="s">
        <v>9</v>
      </c>
      <c r="C12" s="1"/>
      <c r="D12" t="s">
        <v>10</v>
      </c>
    </row>
    <row r="13" spans="1:4" x14ac:dyDescent="0.25">
      <c r="B13" t="s">
        <v>11</v>
      </c>
      <c r="C13" s="1"/>
      <c r="D13" t="s">
        <v>10</v>
      </c>
    </row>
    <row r="14" spans="1:4" x14ac:dyDescent="0.25">
      <c r="B14" t="s">
        <v>12</v>
      </c>
      <c r="C14" s="1"/>
    </row>
    <row r="15" spans="1:4" x14ac:dyDescent="0.25">
      <c r="B15" t="s">
        <v>13</v>
      </c>
      <c r="C15">
        <f>IF(C14="ja",14,0)</f>
        <v>0</v>
      </c>
      <c r="D15" t="s">
        <v>10</v>
      </c>
    </row>
    <row r="16" spans="1:4" x14ac:dyDescent="0.25">
      <c r="B16" t="s">
        <v>14</v>
      </c>
      <c r="C16">
        <f>C11 + 0.1*C12 + 0.05*(C13 + C15)</f>
        <v>0.52</v>
      </c>
      <c r="D16" t="s">
        <v>8</v>
      </c>
    </row>
    <row r="18" spans="1:4" x14ac:dyDescent="0.25">
      <c r="A18" t="s">
        <v>16</v>
      </c>
      <c r="B18" t="s">
        <v>5</v>
      </c>
      <c r="C18" s="1"/>
      <c r="D18" t="s">
        <v>6</v>
      </c>
    </row>
    <row r="19" spans="1:4" x14ac:dyDescent="0.25">
      <c r="B19" t="s">
        <v>7</v>
      </c>
      <c r="C19">
        <f>0.52 + 0.065*C18</f>
        <v>0.52</v>
      </c>
      <c r="D19" t="s">
        <v>8</v>
      </c>
    </row>
    <row r="20" spans="1:4" x14ac:dyDescent="0.25">
      <c r="B20" t="s">
        <v>9</v>
      </c>
      <c r="C20" s="1"/>
      <c r="D20" t="s">
        <v>10</v>
      </c>
    </row>
    <row r="21" spans="1:4" x14ac:dyDescent="0.25">
      <c r="B21" t="s">
        <v>11</v>
      </c>
      <c r="C21" s="1"/>
      <c r="D21" t="s">
        <v>10</v>
      </c>
    </row>
    <row r="22" spans="1:4" x14ac:dyDescent="0.25">
      <c r="B22" t="s">
        <v>12</v>
      </c>
      <c r="C22" s="1"/>
    </row>
    <row r="23" spans="1:4" x14ac:dyDescent="0.25">
      <c r="B23" t="s">
        <v>13</v>
      </c>
      <c r="C23">
        <f>IF(C22="ja",14,0)</f>
        <v>0</v>
      </c>
      <c r="D23" t="s">
        <v>10</v>
      </c>
    </row>
    <row r="24" spans="1:4" x14ac:dyDescent="0.25">
      <c r="B24" t="s">
        <v>14</v>
      </c>
      <c r="C24">
        <f>C19 + 0.1*C20 + 0.05*(C21 + C23)</f>
        <v>0.52</v>
      </c>
      <c r="D24" t="s">
        <v>8</v>
      </c>
    </row>
    <row r="26" spans="1:4" x14ac:dyDescent="0.25">
      <c r="A26" t="s">
        <v>17</v>
      </c>
      <c r="B26" t="s">
        <v>5</v>
      </c>
      <c r="C26" s="1"/>
      <c r="D26" t="s">
        <v>6</v>
      </c>
    </row>
    <row r="27" spans="1:4" x14ac:dyDescent="0.25">
      <c r="B27" t="s">
        <v>7</v>
      </c>
      <c r="C27">
        <f>0.52 + 0.065*C26</f>
        <v>0.52</v>
      </c>
      <c r="D27" t="s">
        <v>8</v>
      </c>
    </row>
    <row r="28" spans="1:4" x14ac:dyDescent="0.25">
      <c r="B28" t="s">
        <v>9</v>
      </c>
      <c r="C28" s="1"/>
      <c r="D28" t="s">
        <v>10</v>
      </c>
    </row>
    <row r="29" spans="1:4" x14ac:dyDescent="0.25">
      <c r="B29" t="s">
        <v>11</v>
      </c>
      <c r="C29" s="1"/>
      <c r="D29" t="s">
        <v>10</v>
      </c>
    </row>
    <row r="30" spans="1:4" x14ac:dyDescent="0.25">
      <c r="B30" t="s">
        <v>12</v>
      </c>
      <c r="C30" s="1"/>
    </row>
    <row r="31" spans="1:4" x14ac:dyDescent="0.25">
      <c r="B31" t="s">
        <v>13</v>
      </c>
      <c r="C31">
        <f>IF(C30="ja",14,0)</f>
        <v>0</v>
      </c>
      <c r="D31" t="s">
        <v>10</v>
      </c>
    </row>
    <row r="32" spans="1:4" x14ac:dyDescent="0.25">
      <c r="B32" t="s">
        <v>14</v>
      </c>
      <c r="C32">
        <f>C27 + 0.1*C28 + 0.05*(C29 + C31)</f>
        <v>0.52</v>
      </c>
      <c r="D32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E6B5A6B738C446A94CBD495F919F11" ma:contentTypeVersion="11" ma:contentTypeDescription="Ein neues Dokument erstellen." ma:contentTypeScope="" ma:versionID="b679d2dd8dfd8e08f4c04c3dae124ed1">
  <xsd:schema xmlns:xsd="http://www.w3.org/2001/XMLSchema" xmlns:xs="http://www.w3.org/2001/XMLSchema" xmlns:p="http://schemas.microsoft.com/office/2006/metadata/properties" xmlns:ns2="21682ff3-ec6b-4905-98b2-53709a7e75ac" xmlns:ns3="f5a45939-d3bc-454c-acab-6d02ab4fc35f" targetNamespace="http://schemas.microsoft.com/office/2006/metadata/properties" ma:root="true" ma:fieldsID="bb8fc6d53e3ad405423d7545b4ed343f" ns2:_="" ns3:_="">
    <xsd:import namespace="21682ff3-ec6b-4905-98b2-53709a7e75ac"/>
    <xsd:import namespace="f5a45939-d3bc-454c-acab-6d02ab4fc3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82ff3-ec6b-4905-98b2-53709a7e75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945ef6e9-2c8c-4a89-b823-b2aa39f39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45939-d3bc-454c-acab-6d02ab4fc3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248482-5958-4b14-9dc5-56828265ac0a}" ma:internalName="TaxCatchAll" ma:showField="CatchAllData" ma:web="f5a45939-d3bc-454c-acab-6d02ab4fc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a45939-d3bc-454c-acab-6d02ab4fc35f" xsi:nil="true"/>
    <lcf76f155ced4ddcb4097134ff3c332f xmlns="21682ff3-ec6b-4905-98b2-53709a7e75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72A06B-AAED-40EC-9115-9097C28029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3C8283-AC58-49C0-820C-245828275C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82ff3-ec6b-4905-98b2-53709a7e75ac"/>
    <ds:schemaRef ds:uri="f5a45939-d3bc-454c-acab-6d02ab4fc3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83E224-D53A-4EB3-9EF9-9B2FACCF6D27}">
  <ds:schemaRefs>
    <ds:schemaRef ds:uri="http://schemas.microsoft.com/office/2006/metadata/properties"/>
    <ds:schemaRef ds:uri="http://schemas.microsoft.com/office/infopath/2007/PartnerControls"/>
    <ds:schemaRef ds:uri="f5a45939-d3bc-454c-acab-6d02ab4fc35f"/>
    <ds:schemaRef ds:uri="21682ff3-ec6b-4905-98b2-53709a7e75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Druckberechnung_4_Biere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Prem Florian</cp:lastModifiedBy>
  <cp:revision/>
  <dcterms:created xsi:type="dcterms:W3CDTF">2026-03-27T10:54:42Z</dcterms:created>
  <dcterms:modified xsi:type="dcterms:W3CDTF">2026-05-13T10:46:33Z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0x010100EBE6B5A6B738C446A94CBD495F919F11</vt:lpwstr>
  </property>
  <property fmtid="{D5CDD505-2E9C-101B-9397-08002B2CF9AE}" pid="3" name="MediaServiceImageTags">
    <vt:lpwstr/>
  </property>
</Properties>
</file>